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Com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$#,##0.00"/>
    <numFmt numFmtId="167" formatCode="$#,##0"/>
    <numFmt numFmtId="168" formatCode="0.0&quot;x&quot;"/>
    <numFmt numFmtId="169" formatCode="$0.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9D6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4" fillId="0" borderId="0" pivotButton="0" quotePrefix="0" xfId="0"/>
    <xf numFmtId="164" fontId="0" fillId="0" borderId="0" pivotButton="0" quotePrefix="0" xfId="0"/>
    <xf numFmtId="3" fontId="0" fillId="3" borderId="1" pivotButton="0" quotePrefix="0" xfId="0"/>
    <xf numFmtId="9" fontId="0" fillId="3" borderId="1" pivotButton="0" quotePrefix="0" xfId="0"/>
    <xf numFmtId="164" fontId="0" fillId="3" borderId="1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0" borderId="1" pivotButton="0" quotePrefix="0" xfId="0"/>
    <xf numFmtId="166" fontId="4" fillId="4" borderId="1" pivotButton="0" quotePrefix="0" xfId="0"/>
    <xf numFmtId="164" fontId="4" fillId="4" borderId="1" pivotButton="0" quotePrefix="0" xfId="0"/>
    <xf numFmtId="0" fontId="5" fillId="0" borderId="0" pivotButton="0" quotePrefix="0" xfId="0"/>
    <xf numFmtId="0" fontId="3" fillId="2" borderId="0" pivotButton="0" quotePrefix="0" xfId="0"/>
    <xf numFmtId="167" fontId="0" fillId="5" borderId="1" pivotButton="0" quotePrefix="0" xfId="0"/>
    <xf numFmtId="167" fontId="0" fillId="4" borderId="1" pivotButton="0" quotePrefix="0" xfId="0"/>
    <xf numFmtId="0" fontId="0" fillId="4" borderId="1" pivotButton="0" quotePrefix="0" xfId="0"/>
    <xf numFmtId="168" fontId="0" fillId="4" borderId="1" pivotButton="0" quotePrefix="0" xfId="0"/>
    <xf numFmtId="168" fontId="0" fillId="0" borderId="1" pivotButton="0" quotePrefix="0" xfId="0"/>
    <xf numFmtId="168" fontId="0" fillId="0" borderId="0" pivotButton="0" quotePrefix="0" xfId="0"/>
    <xf numFmtId="169" fontId="0" fillId="0" borderId="0" pivotButton="0" quotePrefix="0" xfId="0"/>
    <xf numFmtId="167" fontId="4" fillId="4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NVIDIA — Historical Financials ($M)</t>
        </is>
      </c>
    </row>
    <row r="2">
      <c r="A2" s="2" t="inlineStr">
        <is>
          <t>Source: NVIDIA 10-K filings (FY ends late January). Educational project.</t>
        </is>
      </c>
    </row>
    <row r="4">
      <c r="A4" s="3" t="inlineStr">
        <is>
          <t>Fiscal Year</t>
        </is>
      </c>
      <c r="B4" s="3" t="inlineStr">
        <is>
          <t>FY2022</t>
        </is>
      </c>
      <c r="C4" s="3" t="inlineStr">
        <is>
          <t>FY2023</t>
        </is>
      </c>
      <c r="D4" s="3" t="inlineStr">
        <is>
          <t>FY2024</t>
        </is>
      </c>
      <c r="E4" s="3" t="inlineStr">
        <is>
          <t>FY2025</t>
        </is>
      </c>
      <c r="F4" s="3" t="inlineStr">
        <is>
          <t>FY2026</t>
        </is>
      </c>
    </row>
    <row r="5">
      <c r="A5" s="4" t="inlineStr">
        <is>
          <t>Revenue</t>
        </is>
      </c>
      <c r="B5" s="5" t="n">
        <v>26914</v>
      </c>
      <c r="C5" s="5" t="n">
        <v>26974</v>
      </c>
      <c r="D5" s="5" t="n">
        <v>60922</v>
      </c>
      <c r="E5" s="5" t="n">
        <v>130497</v>
      </c>
      <c r="F5" s="5" t="n">
        <v>215938</v>
      </c>
    </row>
    <row r="6">
      <c r="A6" s="4" t="inlineStr">
        <is>
          <t>Cost of revenue</t>
        </is>
      </c>
      <c r="B6" s="5" t="n">
        <v>9439</v>
      </c>
      <c r="C6" s="5" t="n">
        <v>11618</v>
      </c>
      <c r="D6" s="5" t="n">
        <v>16621</v>
      </c>
      <c r="E6" s="5" t="n">
        <v>32639</v>
      </c>
      <c r="F6" s="5" t="n">
        <v>62475</v>
      </c>
    </row>
    <row r="7">
      <c r="A7" s="4" t="inlineStr">
        <is>
          <t>Gross profit</t>
        </is>
      </c>
      <c r="B7" s="5" t="n">
        <v>17475</v>
      </c>
      <c r="C7" s="5" t="n">
        <v>15356</v>
      </c>
      <c r="D7" s="5" t="n">
        <v>44301</v>
      </c>
      <c r="E7" s="5" t="n">
        <v>97858</v>
      </c>
      <c r="F7" s="5" t="n">
        <v>153463</v>
      </c>
    </row>
    <row r="8">
      <c r="A8" s="4" t="inlineStr">
        <is>
          <t>Operating expenses</t>
        </is>
      </c>
      <c r="B8" s="5" t="n">
        <v>7434</v>
      </c>
      <c r="C8" s="5" t="n">
        <v>9779</v>
      </c>
      <c r="D8" s="5" t="n">
        <v>11329</v>
      </c>
      <c r="E8" s="5" t="n">
        <v>16405</v>
      </c>
      <c r="F8" s="5" t="n">
        <v>23076</v>
      </c>
    </row>
    <row r="9">
      <c r="A9" s="4" t="inlineStr">
        <is>
          <t>Operating income</t>
        </is>
      </c>
      <c r="B9" s="5" t="n">
        <v>10041</v>
      </c>
      <c r="C9" s="5" t="n">
        <v>5577</v>
      </c>
      <c r="D9" s="5" t="n">
        <v>32972</v>
      </c>
      <c r="E9" s="5" t="n">
        <v>81453</v>
      </c>
      <c r="F9" s="5" t="n">
        <v>130387</v>
      </c>
    </row>
    <row r="10">
      <c r="A10" s="4" t="inlineStr">
        <is>
          <t>Net income</t>
        </is>
      </c>
      <c r="B10" s="5" t="n">
        <v>9752</v>
      </c>
      <c r="C10" s="5" t="n">
        <v>4368</v>
      </c>
      <c r="D10" s="5" t="n">
        <v>29760</v>
      </c>
      <c r="E10" s="5" t="n">
        <v>72880</v>
      </c>
      <c r="F10" s="5" t="n">
        <v>120067</v>
      </c>
    </row>
    <row r="11">
      <c r="A11" s="4" t="inlineStr">
        <is>
          <t>Diluted EPS ($)</t>
        </is>
      </c>
      <c r="B11" s="6" t="n">
        <v>0.39</v>
      </c>
      <c r="C11" s="6" t="n">
        <v>0.17</v>
      </c>
      <c r="D11" s="6" t="n">
        <v>1.19</v>
      </c>
      <c r="E11" s="6" t="n">
        <v>2.94</v>
      </c>
      <c r="F11" s="6" t="n">
        <v>4.9</v>
      </c>
    </row>
    <row r="12">
      <c r="A12" s="4" t="inlineStr">
        <is>
          <t>Operating cash flow</t>
        </is>
      </c>
      <c r="B12" s="5" t="n">
        <v>9108</v>
      </c>
      <c r="C12" s="5" t="n">
        <v>5641</v>
      </c>
      <c r="D12" s="5" t="n">
        <v>28090</v>
      </c>
      <c r="E12" s="5" t="n">
        <v>64089</v>
      </c>
      <c r="F12" s="5" t="n">
        <v>102718</v>
      </c>
    </row>
    <row r="13">
      <c r="A13" s="4" t="inlineStr">
        <is>
          <t>Capex</t>
        </is>
      </c>
      <c r="B13" s="5" t="n">
        <v>976</v>
      </c>
      <c r="C13" s="5" t="n">
        <v>1833</v>
      </c>
      <c r="D13" s="5" t="n">
        <v>1069</v>
      </c>
      <c r="E13" s="5" t="n">
        <v>3236</v>
      </c>
      <c r="F13" s="5" t="n">
        <v>6042</v>
      </c>
    </row>
    <row r="14">
      <c r="A14" s="4" t="inlineStr">
        <is>
          <t>Free cash flow</t>
        </is>
      </c>
      <c r="B14" s="5" t="n">
        <v>8132</v>
      </c>
      <c r="C14" s="5" t="n">
        <v>3808</v>
      </c>
      <c r="D14" s="5" t="n">
        <v>27021</v>
      </c>
      <c r="E14" s="5" t="n">
        <v>60853</v>
      </c>
      <c r="F14" s="5" t="n">
        <v>96676</v>
      </c>
    </row>
    <row r="15">
      <c r="A15" s="4" t="inlineStr">
        <is>
          <t>Cash &amp; investments</t>
        </is>
      </c>
      <c r="B15" s="5" t="n">
        <v>21208</v>
      </c>
      <c r="C15" s="5" t="n">
        <v>13296</v>
      </c>
      <c r="D15" s="5" t="n">
        <v>25984</v>
      </c>
      <c r="E15" s="5" t="n">
        <v>43210</v>
      </c>
      <c r="F15" s="5" t="n">
        <v>62556</v>
      </c>
    </row>
    <row r="16">
      <c r="A16" s="4" t="inlineStr">
        <is>
          <t>Total debt</t>
        </is>
      </c>
      <c r="B16" s="5" t="n">
        <v>11831</v>
      </c>
      <c r="C16" s="5" t="n">
        <v>12031</v>
      </c>
      <c r="D16" s="5" t="n">
        <v>11056</v>
      </c>
      <c r="E16" s="5" t="n">
        <v>9982</v>
      </c>
      <c r="F16" s="5" t="n">
        <v>11412</v>
      </c>
    </row>
    <row r="17">
      <c r="A17" s="4" t="inlineStr">
        <is>
          <t>Total assets</t>
        </is>
      </c>
      <c r="B17" s="5" t="n">
        <v>44187</v>
      </c>
      <c r="C17" s="5" t="n">
        <v>41182</v>
      </c>
      <c r="D17" s="5" t="n">
        <v>65728</v>
      </c>
      <c r="E17" s="5" t="n">
        <v>111601</v>
      </c>
      <c r="F17" s="5" t="n">
        <v>206804</v>
      </c>
    </row>
    <row r="18">
      <c r="A18" s="4" t="inlineStr">
        <is>
          <t>Total liabilities</t>
        </is>
      </c>
      <c r="B18" s="5" t="n">
        <v>17575</v>
      </c>
      <c r="C18" s="5" t="n">
        <v>19081</v>
      </c>
      <c r="D18" s="5" t="n">
        <v>22750</v>
      </c>
      <c r="E18" s="5" t="n">
        <v>32274</v>
      </c>
      <c r="F18" s="5" t="n">
        <v>81196</v>
      </c>
    </row>
    <row r="19">
      <c r="A19" s="4" t="inlineStr">
        <is>
          <t>Total equity</t>
        </is>
      </c>
      <c r="B19" s="5" t="n">
        <v>26612</v>
      </c>
      <c r="C19" s="5" t="n">
        <v>22101</v>
      </c>
      <c r="D19" s="5" t="n">
        <v>42978</v>
      </c>
      <c r="E19" s="5" t="n">
        <v>79327</v>
      </c>
      <c r="F19" s="5" t="n">
        <v>125608</v>
      </c>
    </row>
    <row r="20">
      <c r="A20" s="7" t="inlineStr">
        <is>
          <t>Revenue growth %</t>
        </is>
      </c>
      <c r="C20" s="8">
        <f>C5/B5-1</f>
        <v/>
      </c>
      <c r="D20" s="8">
        <f>D5/C5-1</f>
        <v/>
      </c>
      <c r="E20" s="8">
        <f>E5/D5-1</f>
        <v/>
      </c>
      <c r="F20" s="8">
        <f>F5/E5-1</f>
        <v/>
      </c>
    </row>
    <row r="21">
      <c r="A21" s="7" t="inlineStr">
        <is>
          <t>Gross margin %</t>
        </is>
      </c>
      <c r="B21" s="8">
        <f>B7/B5</f>
        <v/>
      </c>
      <c r="C21" s="8">
        <f>C7/C5</f>
        <v/>
      </c>
      <c r="D21" s="8">
        <f>D7/D5</f>
        <v/>
      </c>
      <c r="E21" s="8">
        <f>E7/E5</f>
        <v/>
      </c>
      <c r="F21" s="8">
        <f>F7/F5</f>
        <v/>
      </c>
    </row>
    <row r="22">
      <c r="A22" s="7" t="inlineStr">
        <is>
          <t>Operating margin %</t>
        </is>
      </c>
      <c r="B22" s="8">
        <f>B9/B5</f>
        <v/>
      </c>
      <c r="C22" s="8">
        <f>C9/C5</f>
        <v/>
      </c>
      <c r="D22" s="8">
        <f>D9/D5</f>
        <v/>
      </c>
      <c r="E22" s="8">
        <f>E9/E5</f>
        <v/>
      </c>
      <c r="F22" s="8">
        <f>F9/F5</f>
        <v/>
      </c>
    </row>
    <row r="23">
      <c r="A23" s="7" t="inlineStr">
        <is>
          <t>Net margin %</t>
        </is>
      </c>
      <c r="B23" s="8">
        <f>B10/B5</f>
        <v/>
      </c>
      <c r="C23" s="8">
        <f>C10/C5</f>
        <v/>
      </c>
      <c r="D23" s="8">
        <f>D10/D5</f>
        <v/>
      </c>
      <c r="E23" s="8">
        <f>E10/E5</f>
        <v/>
      </c>
      <c r="F23" s="8">
        <f>F10/F5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NVIDIA — DCF Valuation</t>
        </is>
      </c>
    </row>
    <row r="2">
      <c r="A2" s="2" t="inlineStr">
        <is>
          <t>Yellow cells are editable assumptions. Everything else is a formula.</t>
        </is>
      </c>
    </row>
    <row r="4">
      <c r="A4" s="7" t="inlineStr">
        <is>
          <t>Assumptions</t>
        </is>
      </c>
    </row>
    <row r="5">
      <c r="A5" t="inlineStr">
        <is>
          <t>Base revenue FY2026 ($M)</t>
        </is>
      </c>
      <c r="B5" s="9" t="n">
        <v>215938</v>
      </c>
    </row>
    <row r="6">
      <c r="A6" t="inlineStr">
        <is>
          <t>Operating margin</t>
        </is>
      </c>
      <c r="B6" s="10" t="n">
        <v>0.6</v>
      </c>
    </row>
    <row r="7">
      <c r="A7" t="inlineStr">
        <is>
          <t>Tax rate</t>
        </is>
      </c>
      <c r="B7" s="10" t="n">
        <v>0.15</v>
      </c>
    </row>
    <row r="8">
      <c r="A8" t="inlineStr">
        <is>
          <t>D&amp;A % of revenue</t>
        </is>
      </c>
      <c r="B8" s="10" t="n">
        <v>0.02</v>
      </c>
    </row>
    <row r="9">
      <c r="A9" t="inlineStr">
        <is>
          <t>Capex % of revenue</t>
        </is>
      </c>
      <c r="B9" s="10" t="n">
        <v>0.03</v>
      </c>
    </row>
    <row r="10">
      <c r="A10" t="inlineStr">
        <is>
          <t>Incr. NWC % of Δrevenue</t>
        </is>
      </c>
      <c r="B10" s="10" t="n">
        <v>0.03</v>
      </c>
    </row>
    <row r="11">
      <c r="A11" t="inlineStr">
        <is>
          <t>WACC</t>
        </is>
      </c>
      <c r="B11" s="11" t="n">
        <v>0.1</v>
      </c>
    </row>
    <row r="12">
      <c r="A12" t="inlineStr">
        <is>
          <t>Terminal growth</t>
        </is>
      </c>
      <c r="B12" s="11" t="n">
        <v>0.03</v>
      </c>
    </row>
    <row r="13">
      <c r="A13" t="inlineStr">
        <is>
          <t>Net cash ($M)</t>
        </is>
      </c>
      <c r="B13" s="9" t="n">
        <v>51144</v>
      </c>
    </row>
    <row r="14">
      <c r="A14" t="inlineStr">
        <is>
          <t>Shares outstanding (M)</t>
        </is>
      </c>
      <c r="B14" s="9" t="n">
        <v>24500</v>
      </c>
    </row>
    <row r="16">
      <c r="A16" s="7" t="inlineStr">
        <is>
          <t>Revenue growth by year</t>
        </is>
      </c>
      <c r="B16" s="10" t="n">
        <v>0.45</v>
      </c>
      <c r="C16" s="10" t="n">
        <v>0.32</v>
      </c>
      <c r="D16" s="10" t="n">
        <v>0.24</v>
      </c>
      <c r="E16" s="10" t="n">
        <v>0.18</v>
      </c>
      <c r="F16" s="10" t="n">
        <v>0.12</v>
      </c>
    </row>
    <row r="18">
      <c r="A18" s="7" t="inlineStr">
        <is>
          <t>Forecast ($M)</t>
        </is>
      </c>
    </row>
    <row r="19">
      <c r="A19" s="3" t="inlineStr">
        <is>
          <t>Year</t>
        </is>
      </c>
      <c r="B19" s="3" t="inlineStr">
        <is>
          <t>Revenue</t>
        </is>
      </c>
      <c r="C19" s="3" t="inlineStr">
        <is>
          <t>EBIT</t>
        </is>
      </c>
      <c r="D19" s="3" t="inlineStr">
        <is>
          <t>NOPAT</t>
        </is>
      </c>
      <c r="E19" s="3" t="inlineStr">
        <is>
          <t>+ D&amp;A</t>
        </is>
      </c>
      <c r="F19" s="3" t="inlineStr">
        <is>
          <t>- Capex</t>
        </is>
      </c>
      <c r="G19" s="3" t="inlineStr">
        <is>
          <t>- ΔNWC</t>
        </is>
      </c>
      <c r="H19" s="3" t="inlineStr">
        <is>
          <t>FCF</t>
        </is>
      </c>
      <c r="I19" s="3" t="inlineStr">
        <is>
          <t>Discount factor</t>
        </is>
      </c>
      <c r="J19" s="3" t="inlineStr">
        <is>
          <t>PV of FCF</t>
        </is>
      </c>
    </row>
    <row r="20">
      <c r="A20" t="n">
        <v>1</v>
      </c>
      <c r="B20" s="12">
        <f>$B$5*(1+B16)</f>
        <v/>
      </c>
      <c r="C20" s="12">
        <f>B20*$B$6</f>
        <v/>
      </c>
      <c r="D20" s="12">
        <f>C20*(1-$B$7)</f>
        <v/>
      </c>
      <c r="E20" s="12">
        <f>B20*$B$8</f>
        <v/>
      </c>
      <c r="F20" s="12">
        <f>B20*$B$9</f>
        <v/>
      </c>
      <c r="G20" s="12">
        <f>(B20-$B$5)*$B$10</f>
        <v/>
      </c>
      <c r="H20" s="12">
        <f>D20+E20-F20-G20</f>
        <v/>
      </c>
      <c r="I20" s="13">
        <f>1/(1+$B$11)^A20</f>
        <v/>
      </c>
      <c r="J20" s="12">
        <f>H20*I20</f>
        <v/>
      </c>
    </row>
    <row r="21">
      <c r="A21" t="n">
        <v>2</v>
      </c>
      <c r="B21" s="12">
        <f>B20*(1+C16)</f>
        <v/>
      </c>
      <c r="C21" s="12">
        <f>B21*$B$6</f>
        <v/>
      </c>
      <c r="D21" s="12">
        <f>C21*(1-$B$7)</f>
        <v/>
      </c>
      <c r="E21" s="12">
        <f>B21*$B$8</f>
        <v/>
      </c>
      <c r="F21" s="12">
        <f>B21*$B$9</f>
        <v/>
      </c>
      <c r="G21" s="12">
        <f>(B21-B20)*$B$10</f>
        <v/>
      </c>
      <c r="H21" s="12">
        <f>D21+E21-F21-G21</f>
        <v/>
      </c>
      <c r="I21" s="13">
        <f>1/(1+$B$11)^A21</f>
        <v/>
      </c>
      <c r="J21" s="12">
        <f>H21*I21</f>
        <v/>
      </c>
    </row>
    <row r="22">
      <c r="A22" t="n">
        <v>3</v>
      </c>
      <c r="B22" s="12">
        <f>B21*(1+D16)</f>
        <v/>
      </c>
      <c r="C22" s="12">
        <f>B22*$B$6</f>
        <v/>
      </c>
      <c r="D22" s="12">
        <f>C22*(1-$B$7)</f>
        <v/>
      </c>
      <c r="E22" s="12">
        <f>B22*$B$8</f>
        <v/>
      </c>
      <c r="F22" s="12">
        <f>B22*$B$9</f>
        <v/>
      </c>
      <c r="G22" s="12">
        <f>(B22-B21)*$B$10</f>
        <v/>
      </c>
      <c r="H22" s="12">
        <f>D22+E22-F22-G22</f>
        <v/>
      </c>
      <c r="I22" s="13">
        <f>1/(1+$B$11)^A22</f>
        <v/>
      </c>
      <c r="J22" s="12">
        <f>H22*I22</f>
        <v/>
      </c>
    </row>
    <row r="23">
      <c r="A23" t="n">
        <v>4</v>
      </c>
      <c r="B23" s="12">
        <f>B22*(1+E16)</f>
        <v/>
      </c>
      <c r="C23" s="12">
        <f>B23*$B$6</f>
        <v/>
      </c>
      <c r="D23" s="12">
        <f>C23*(1-$B$7)</f>
        <v/>
      </c>
      <c r="E23" s="12">
        <f>B23*$B$8</f>
        <v/>
      </c>
      <c r="F23" s="12">
        <f>B23*$B$9</f>
        <v/>
      </c>
      <c r="G23" s="12">
        <f>(B23-B22)*$B$10</f>
        <v/>
      </c>
      <c r="H23" s="12">
        <f>D23+E23-F23-G23</f>
        <v/>
      </c>
      <c r="I23" s="13">
        <f>1/(1+$B$11)^A23</f>
        <v/>
      </c>
      <c r="J23" s="12">
        <f>H23*I23</f>
        <v/>
      </c>
    </row>
    <row r="24">
      <c r="A24" t="n">
        <v>5</v>
      </c>
      <c r="B24" s="12">
        <f>B23*(1+F16)</f>
        <v/>
      </c>
      <c r="C24" s="12">
        <f>B24*$B$6</f>
        <v/>
      </c>
      <c r="D24" s="12">
        <f>C24*(1-$B$7)</f>
        <v/>
      </c>
      <c r="E24" s="12">
        <f>B24*$B$8</f>
        <v/>
      </c>
      <c r="F24" s="12">
        <f>B24*$B$9</f>
        <v/>
      </c>
      <c r="G24" s="12">
        <f>(B24-B23)*$B$10</f>
        <v/>
      </c>
      <c r="H24" s="12">
        <f>D24+E24-F24-G24</f>
        <v/>
      </c>
      <c r="I24" s="13">
        <f>1/(1+$B$11)^A24</f>
        <v/>
      </c>
      <c r="J24" s="12">
        <f>H24*I24</f>
        <v/>
      </c>
    </row>
    <row r="26">
      <c r="A26" s="7" t="inlineStr">
        <is>
          <t>Sum PV of FCF</t>
        </is>
      </c>
      <c r="B26" s="5">
        <f>SUM(J20:J24)</f>
        <v/>
      </c>
    </row>
    <row r="27">
      <c r="A27" s="7" t="inlineStr">
        <is>
          <t>Terminal value</t>
        </is>
      </c>
      <c r="B27" s="5">
        <f>H24*(1+$B$12)/($B$11-$B$12)</f>
        <v/>
      </c>
    </row>
    <row r="28">
      <c r="A28" s="7" t="inlineStr">
        <is>
          <t>PV of terminal value</t>
        </is>
      </c>
      <c r="B28" s="5">
        <f>B27/(1+$B$11)^5</f>
        <v/>
      </c>
    </row>
    <row r="29">
      <c r="A29" s="7" t="inlineStr">
        <is>
          <t>Enterprise value</t>
        </is>
      </c>
      <c r="B29" s="5">
        <f>B26+B28</f>
        <v/>
      </c>
    </row>
    <row r="30">
      <c r="A30" s="7" t="inlineStr">
        <is>
          <t>+ Net cash</t>
        </is>
      </c>
      <c r="B30" s="5">
        <f>$B$13</f>
        <v/>
      </c>
    </row>
    <row r="31">
      <c r="A31" s="7" t="inlineStr">
        <is>
          <t>Equity value</t>
        </is>
      </c>
      <c r="B31" s="5">
        <f>B29+B30</f>
        <v/>
      </c>
    </row>
    <row r="32">
      <c r="A32" s="7" t="inlineStr">
        <is>
          <t>÷ Shares (M)</t>
        </is>
      </c>
      <c r="B32" s="14">
        <f>$B$14</f>
        <v/>
      </c>
    </row>
    <row r="33">
      <c r="A33" s="7" t="inlineStr">
        <is>
          <t>Implied share price ($)</t>
        </is>
      </c>
      <c r="B33" s="15">
        <f>B31/B32</f>
        <v/>
      </c>
    </row>
    <row r="34">
      <c r="A34" s="7" t="inlineStr">
        <is>
          <t>Current price ($, Sep 9 2026)</t>
        </is>
      </c>
      <c r="B34" s="15" t="n">
        <v>224.15</v>
      </c>
    </row>
    <row r="35">
      <c r="A35" s="7" t="inlineStr">
        <is>
          <t>Upside / (downside)</t>
        </is>
      </c>
      <c r="B35" s="16">
        <f>B33/B34-1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7" t="inlineStr">
        <is>
          <t>DCF Sensitivity — Implied price by WACC × Terminal growth</t>
        </is>
      </c>
    </row>
    <row r="2">
      <c r="A2" s="2" t="inlineStr">
        <is>
          <t>Values below are the base-case outputs. To make this fully live, use Excel's Data Table (What-If Analysis) on the DCF sheet.</t>
        </is>
      </c>
    </row>
    <row r="4">
      <c r="A4" s="7" t="inlineStr"/>
      <c r="B4" s="18" t="inlineStr">
        <is>
          <t>2.0%</t>
        </is>
      </c>
      <c r="C4" s="18" t="inlineStr">
        <is>
          <t>2.5%</t>
        </is>
      </c>
      <c r="D4" s="18" t="inlineStr">
        <is>
          <t>3.0%</t>
        </is>
      </c>
      <c r="E4" s="18" t="inlineStr">
        <is>
          <t>3.5%</t>
        </is>
      </c>
    </row>
    <row r="5">
      <c r="A5" s="3" t="inlineStr">
        <is>
          <t>8.0%</t>
        </is>
      </c>
      <c r="B5" s="19" t="n">
        <v>200</v>
      </c>
      <c r="C5" s="19" t="n">
        <v>216</v>
      </c>
      <c r="D5" s="20" t="n">
        <v>234</v>
      </c>
      <c r="E5" s="20" t="n">
        <v>257</v>
      </c>
    </row>
    <row r="6">
      <c r="A6" s="3" t="inlineStr">
        <is>
          <t>9.0%</t>
        </is>
      </c>
      <c r="B6" s="19" t="n">
        <v>170</v>
      </c>
      <c r="C6" s="19" t="n">
        <v>181</v>
      </c>
      <c r="D6" s="19" t="n">
        <v>194</v>
      </c>
      <c r="E6" s="19" t="n">
        <v>208</v>
      </c>
    </row>
    <row r="7">
      <c r="A7" s="3" t="inlineStr">
        <is>
          <t>10.0%</t>
        </is>
      </c>
      <c r="B7" s="19" t="n">
        <v>148</v>
      </c>
      <c r="C7" s="19" t="n">
        <v>156</v>
      </c>
      <c r="D7" s="19" t="n">
        <v>165</v>
      </c>
      <c r="E7" s="19" t="n">
        <v>175</v>
      </c>
    </row>
    <row r="8">
      <c r="A8" s="3" t="inlineStr">
        <is>
          <t>11.0%</t>
        </is>
      </c>
      <c r="B8" s="19" t="n">
        <v>131</v>
      </c>
      <c r="C8" s="19" t="n">
        <v>137</v>
      </c>
      <c r="D8" s="19" t="n">
        <v>143</v>
      </c>
      <c r="E8" s="19" t="n">
        <v>151</v>
      </c>
    </row>
    <row r="11">
      <c r="A11" s="2" t="inlineStr">
        <is>
          <t>Green = above current price (~undervalued). Red = below (~overvalued).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7" t="inlineStr">
        <is>
          <t>Comparable Companies — Valuation Multiples</t>
        </is>
      </c>
    </row>
    <row r="2">
      <c r="A2" s="2" t="inlineStr">
        <is>
          <t>Source: stockanalysis.com / S&amp;P Global, snapshot as of early Sep 2026.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Trailing P/E</t>
        </is>
      </c>
      <c r="D4" s="3" t="inlineStr">
        <is>
          <t>Forward P/E</t>
        </is>
      </c>
      <c r="E4" s="3" t="inlineStr">
        <is>
          <t>EV/EBITDA</t>
        </is>
      </c>
      <c r="F4" s="3" t="inlineStr">
        <is>
          <t>Rev growth</t>
        </is>
      </c>
      <c r="G4" s="3" t="inlineStr">
        <is>
          <t>Op margin</t>
        </is>
      </c>
    </row>
    <row r="5">
      <c r="A5" s="21" t="inlineStr">
        <is>
          <t>NVIDIA</t>
        </is>
      </c>
      <c r="B5" s="21" t="inlineStr">
        <is>
          <t>NVDA</t>
        </is>
      </c>
      <c r="C5" s="22" t="n">
        <v>29.1</v>
      </c>
      <c r="D5" s="22" t="n">
        <v>19.1</v>
      </c>
      <c r="E5" s="22" t="n">
        <v>27.5</v>
      </c>
      <c r="F5" s="21" t="inlineStr">
        <is>
          <t>83%</t>
        </is>
      </c>
      <c r="G5" s="21" t="inlineStr">
        <is>
          <t>65%</t>
        </is>
      </c>
    </row>
    <row r="6">
      <c r="A6" s="14" t="inlineStr">
        <is>
          <t>AMD</t>
        </is>
      </c>
      <c r="B6" s="14" t="inlineStr">
        <is>
          <t>AMD</t>
        </is>
      </c>
      <c r="C6" s="23" t="n">
        <v>120.8</v>
      </c>
      <c r="D6" s="23" t="n">
        <v>42.6</v>
      </c>
      <c r="E6" s="23" t="n">
        <v>79.90000000000001</v>
      </c>
      <c r="F6" s="14" t="inlineStr">
        <is>
          <t>40%</t>
        </is>
      </c>
      <c r="G6" s="14" t="inlineStr">
        <is>
          <t>20%</t>
        </is>
      </c>
    </row>
    <row r="7">
      <c r="A7" s="14" t="inlineStr">
        <is>
          <t>Broadcom</t>
        </is>
      </c>
      <c r="B7" s="14" t="inlineStr">
        <is>
          <t>AVGO</t>
        </is>
      </c>
      <c r="C7" s="23" t="n">
        <v>61.8</v>
      </c>
      <c r="D7" s="23" t="n">
        <v>23.6</v>
      </c>
      <c r="E7" s="23" t="n">
        <v>43.1</v>
      </c>
      <c r="F7" s="14" t="inlineStr">
        <is>
          <t>45%</t>
        </is>
      </c>
      <c r="G7" s="14" t="inlineStr">
        <is>
          <t>45%</t>
        </is>
      </c>
    </row>
    <row r="8">
      <c r="A8" s="14" t="inlineStr">
        <is>
          <t>Marvell</t>
        </is>
      </c>
      <c r="B8" s="14" t="inlineStr">
        <is>
          <t>MRVL</t>
        </is>
      </c>
      <c r="C8" s="23" t="n">
        <v>79.2</v>
      </c>
      <c r="D8" s="23" t="n">
        <v>50.2</v>
      </c>
      <c r="E8" s="23" t="n">
        <v>74.7</v>
      </c>
      <c r="F8" s="14" t="inlineStr">
        <is>
          <t>45%</t>
        </is>
      </c>
      <c r="G8" s="14" t="inlineStr">
        <is>
          <t>17%</t>
        </is>
      </c>
    </row>
    <row r="9">
      <c r="A9" s="7" t="inlineStr">
        <is>
          <t>Peer median (excl. NVDA)</t>
        </is>
      </c>
      <c r="C9" s="24">
        <f>MEDIAN(C6:C8)</f>
        <v/>
      </c>
      <c r="D9" s="24">
        <f>MEDIAN(D6:D8)</f>
        <v/>
      </c>
      <c r="E9" s="24">
        <f>MEDIAN(E6:E8)</f>
        <v/>
      </c>
    </row>
    <row r="11">
      <c r="A11" s="7" t="inlineStr">
        <is>
          <t>Implied value from Forward P/E</t>
        </is>
      </c>
    </row>
    <row r="12">
      <c r="A12" t="inlineStr">
        <is>
          <t>NVIDIA forward EPS ($)</t>
        </is>
      </c>
      <c r="B12" s="25">
        <f>224.15/19.1</f>
        <v/>
      </c>
    </row>
    <row r="13">
      <c r="A13" t="inlineStr">
        <is>
          <t>@ cheapest peer fwd P/E (23.6x)</t>
        </is>
      </c>
      <c r="B13" s="26">
        <f>MIN(D6:D8)*B12</f>
        <v/>
      </c>
    </row>
    <row r="14">
      <c r="A14" t="inlineStr">
        <is>
          <t>@ peer median fwd P/E</t>
        </is>
      </c>
      <c r="B14" s="26">
        <f>D9*B12</f>
        <v/>
      </c>
    </row>
    <row r="15">
      <c r="A15" t="inlineStr">
        <is>
          <t>Current price ($)</t>
        </is>
      </c>
      <c r="B15" s="27" t="n">
        <v>224.15</v>
      </c>
    </row>
    <row r="17">
      <c r="A17" s="2" t="inlineStr">
        <is>
          <t>Note: NVIDIA has the highest growth and margins yet the LOWEST multiples of the group. Trailing P/E is distorted for peers (small</t>
        </is>
      </c>
    </row>
    <row r="18">
      <c r="A18" s="2" t="inlineStr">
        <is>
          <t>current earnings vs. big AI growth expectations), so forward P/E is the fair comparison. We anchor value near the cheapest peer (~$277).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2026-09-10T00:11:32Z</dcterms:created>
  <dcterms:modified xmlns:dcterms="http://purl.org/dc/terms/" xmlns:xsi="http://www.w3.org/2001/XMLSchema-instance" xsi:type="dcterms:W3CDTF">2026-09-10T00:11:32Z</dcterms:modified>
</cp:coreProperties>
</file>